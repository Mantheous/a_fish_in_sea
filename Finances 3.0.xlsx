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<sst xmlns="http://schemas.openxmlformats.org/spreadsheetml/2006/main" count="45" uniqueCount="30">
  <si>
    <t>Name</t>
  </si>
  <si>
    <t>Amount</t>
  </si>
  <si>
    <t>Date</t>
  </si>
  <si>
    <t>Days</t>
  </si>
  <si>
    <t>Balance</t>
  </si>
  <si>
    <t>Starting Balance</t>
  </si>
  <si>
    <t>Income</t>
  </si>
  <si>
    <t>Scrubby</t>
  </si>
  <si>
    <t>Doctors visit</t>
  </si>
  <si>
    <t>Debt to mom</t>
  </si>
  <si>
    <t>Rice</t>
  </si>
  <si>
    <t>Fix oil leak/transmision fluid</t>
  </si>
  <si>
    <t>Bike tire</t>
  </si>
  <si>
    <t>Rent June</t>
  </si>
  <si>
    <t>Ensurance</t>
  </si>
  <si>
    <t>Utilities</t>
  </si>
  <si>
    <t>Stupid fees</t>
  </si>
  <si>
    <t>Catalactyc Converter</t>
  </si>
  <si>
    <t>Rent August</t>
  </si>
  <si>
    <t>Rent July</t>
  </si>
  <si>
    <t>Rent September</t>
  </si>
  <si>
    <t>Rent October</t>
  </si>
  <si>
    <t>Monthly income</t>
  </si>
  <si>
    <t>Rent November</t>
  </si>
  <si>
    <t>Rend December</t>
  </si>
  <si>
    <t>Rent January</t>
  </si>
  <si>
    <t>Rent Febuary</t>
  </si>
  <si>
    <t>Rent March</t>
  </si>
  <si>
    <t>Rent April</t>
  </si>
  <si>
    <t>Rent 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</si>
</sst>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/d/yyyy"/>
    <numFmt numFmtId="167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7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7" xfId="0" applyAlignment="1" applyFont="1" applyNumberForma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437.0</v>
      </c>
      <c r="C2" s="2">
        <v>46152.0</v>
      </c>
      <c r="D2" s="3" t="str">
        <f t="shared" ref="D2:D41" si="1">IF(ISBLANK(C2), "", IF(C2&lt;TODAY(), "Past", IF(DATEDIF(TODAY(), C2, "Y")&gt;0, DATEDIF(TODAY(), C2, "Y") &amp; " year(s)", IF(DATEDIF(TODAY(), C2, "M")&gt;0, DATEDIF(TODAY(), C2, "M") &amp; " month(s)", DATEDIF(TODAY(), C2, "D") &amp; " day(s)"))))</f>
        <v>Past</v>
      </c>
      <c r="E2" s="3">
        <f>B2</f>
        <v>437</v>
      </c>
    </row>
    <row r="3">
      <c r="A3" s="1" t="s">
        <v>6</v>
      </c>
      <c r="B3" s="1">
        <v>263.66</v>
      </c>
      <c r="C3" s="2">
        <v>46152.0</v>
      </c>
      <c r="D3" s="3" t="str">
        <f t="shared" si="1"/>
        <v>Past</v>
      </c>
      <c r="E3" s="3">
        <f>E2+B3</f>
        <v>700.66</v>
      </c>
    </row>
    <row r="4">
      <c r="A4" s="1" t="s">
        <v>7</v>
      </c>
      <c r="B4" s="1">
        <v>-5.0</v>
      </c>
      <c r="C4" s="4">
        <v>46157.0</v>
      </c>
      <c r="D4" s="3" t="str">
        <f t="shared" si="1"/>
        <v>0 day(s)</v>
      </c>
      <c r="E4" s="3">
        <f>E2+B4</f>
        <v>432</v>
      </c>
    </row>
    <row r="5">
      <c r="A5" s="1" t="s">
        <v>8</v>
      </c>
      <c r="B5" s="1">
        <v>-190.58</v>
      </c>
      <c r="C5" s="5">
        <v>46157.0</v>
      </c>
      <c r="D5" s="3" t="str">
        <f t="shared" si="1"/>
        <v>0 day(s)</v>
      </c>
      <c r="E5" s="3">
        <f t="shared" ref="E5:E10" si="2">E4+B5</f>
        <v>241.42</v>
      </c>
      <c r="F5" s="6"/>
      <c r="H5" s="7"/>
    </row>
    <row r="6">
      <c r="A6" s="1" t="s">
        <v>9</v>
      </c>
      <c r="B6" s="1">
        <v>-200.0</v>
      </c>
      <c r="C6" s="4">
        <v>46157.0</v>
      </c>
      <c r="D6" s="3" t="str">
        <f t="shared" si="1"/>
        <v>0 day(s)</v>
      </c>
      <c r="E6" s="3">
        <f t="shared" si="2"/>
        <v>41.42</v>
      </c>
    </row>
    <row r="7">
      <c r="A7" s="1" t="s">
        <v>10</v>
      </c>
      <c r="B7" s="1">
        <v>-20.0</v>
      </c>
      <c r="C7" s="4">
        <v>46159.0</v>
      </c>
      <c r="D7" s="3" t="str">
        <f t="shared" si="1"/>
        <v>2 day(s)</v>
      </c>
      <c r="E7" s="3">
        <f t="shared" si="2"/>
        <v>21.42</v>
      </c>
    </row>
    <row r="8">
      <c r="A8" s="1" t="s">
        <v>6</v>
      </c>
      <c r="B8" s="1">
        <v>700.0</v>
      </c>
      <c r="C8" s="2">
        <v>46159.0</v>
      </c>
      <c r="D8" s="3" t="str">
        <f t="shared" si="1"/>
        <v>2 day(s)</v>
      </c>
      <c r="E8" s="3">
        <f t="shared" si="2"/>
        <v>721.42</v>
      </c>
    </row>
    <row r="9">
      <c r="A9" s="1" t="s">
        <v>11</v>
      </c>
      <c r="B9" s="1">
        <v>-200.0</v>
      </c>
      <c r="C9" s="4">
        <v>46163.0</v>
      </c>
      <c r="D9" s="3" t="str">
        <f t="shared" si="1"/>
        <v>6 day(s)</v>
      </c>
      <c r="E9" s="3">
        <f t="shared" si="2"/>
        <v>521.42</v>
      </c>
    </row>
    <row r="10">
      <c r="A10" s="1" t="s">
        <v>6</v>
      </c>
      <c r="B10" s="1">
        <v>700.0</v>
      </c>
      <c r="C10" s="2">
        <v>46166.0</v>
      </c>
      <c r="D10" s="3" t="str">
        <f t="shared" si="1"/>
        <v>9 day(s)</v>
      </c>
      <c r="E10" s="3">
        <f t="shared" si="2"/>
        <v>1221.42</v>
      </c>
    </row>
    <row r="11">
      <c r="A11" s="1" t="s">
        <v>12</v>
      </c>
      <c r="B11" s="1">
        <v>-30.0</v>
      </c>
      <c r="C11" s="2">
        <v>46172.0</v>
      </c>
      <c r="D11" s="3" t="str">
        <f t="shared" si="1"/>
        <v>15 day(s)</v>
      </c>
      <c r="E11" s="3">
        <f>E9+B11</f>
        <v>491.42</v>
      </c>
    </row>
    <row r="12">
      <c r="A12" s="1" t="s">
        <v>6</v>
      </c>
      <c r="B12" s="1">
        <v>700.0</v>
      </c>
      <c r="C12" s="2">
        <v>46173.0</v>
      </c>
      <c r="D12" s="3" t="str">
        <f t="shared" si="1"/>
        <v>16 day(s)</v>
      </c>
      <c r="E12" s="3">
        <f>E11+B12</f>
        <v>1191.42</v>
      </c>
    </row>
    <row r="13">
      <c r="A13" s="1" t="s">
        <v>13</v>
      </c>
      <c r="B13" s="1">
        <v>-490.0</v>
      </c>
      <c r="C13" s="4">
        <v>46174.0</v>
      </c>
      <c r="D13" s="3" t="str">
        <f t="shared" si="1"/>
        <v>17 day(s)</v>
      </c>
      <c r="E13" s="3">
        <f>E10+B13</f>
        <v>731.42</v>
      </c>
    </row>
    <row r="14">
      <c r="A14" s="1" t="s">
        <v>14</v>
      </c>
      <c r="B14" s="1">
        <v>-200.0</v>
      </c>
      <c r="C14" s="4">
        <v>46174.0</v>
      </c>
      <c r="D14" s="3" t="str">
        <f t="shared" si="1"/>
        <v>17 day(s)</v>
      </c>
      <c r="E14" s="3">
        <f t="shared" ref="E14:E17" si="3">E13+B14</f>
        <v>531.42</v>
      </c>
    </row>
    <row r="15">
      <c r="A15" s="1" t="s">
        <v>15</v>
      </c>
      <c r="B15" s="1">
        <v>-60.0</v>
      </c>
      <c r="C15" s="4">
        <v>46175.0</v>
      </c>
      <c r="D15" s="3" t="str">
        <f t="shared" si="1"/>
        <v>18 day(s)</v>
      </c>
      <c r="E15" s="3">
        <f t="shared" si="3"/>
        <v>471.42</v>
      </c>
    </row>
    <row r="16">
      <c r="A16" s="1" t="s">
        <v>16</v>
      </c>
      <c r="B16" s="1">
        <v>-30.0</v>
      </c>
      <c r="C16" s="4">
        <v>46176.0</v>
      </c>
      <c r="D16" s="3" t="str">
        <f t="shared" si="1"/>
        <v>19 day(s)</v>
      </c>
      <c r="E16" s="3">
        <f t="shared" si="3"/>
        <v>441.42</v>
      </c>
    </row>
    <row r="17">
      <c r="A17" s="8" t="s">
        <v>6</v>
      </c>
      <c r="B17" s="9">
        <v>700.0</v>
      </c>
      <c r="C17" s="10">
        <v>46180.0</v>
      </c>
      <c r="D17" s="3" t="str">
        <f t="shared" si="1"/>
        <v>23 day(s)</v>
      </c>
      <c r="E17" s="11">
        <f t="shared" si="3"/>
        <v>1141.42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8" t="s">
        <v>6</v>
      </c>
      <c r="B18" s="9">
        <v>700.0</v>
      </c>
      <c r="C18" s="10">
        <v>46187.0</v>
      </c>
      <c r="D18" s="3" t="str">
        <f t="shared" si="1"/>
        <v>30 day(s)</v>
      </c>
      <c r="E18" s="11">
        <f>E13+B18</f>
        <v>1431.42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8" t="s">
        <v>6</v>
      </c>
      <c r="B19" s="9">
        <v>700.0</v>
      </c>
      <c r="C19" s="10">
        <v>46194.0</v>
      </c>
      <c r="D19" s="3" t="str">
        <f t="shared" si="1"/>
        <v>1 month(s)</v>
      </c>
      <c r="E19" s="11">
        <f>E13+B19</f>
        <v>1431.42</v>
      </c>
      <c r="F19" s="8"/>
      <c r="G19" s="12"/>
      <c r="H19" s="1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8" t="s">
        <v>6</v>
      </c>
      <c r="B20" s="9">
        <v>700.0</v>
      </c>
      <c r="C20" s="10">
        <v>46201.0</v>
      </c>
      <c r="D20" s="3" t="str">
        <f t="shared" si="1"/>
        <v>1 month(s)</v>
      </c>
      <c r="E20" s="11">
        <f>E18+B20</f>
        <v>2131.42</v>
      </c>
      <c r="F20" s="8"/>
      <c r="G20" s="12"/>
      <c r="H20" s="1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" t="s">
        <v>17</v>
      </c>
      <c r="B21" s="1">
        <v>-800.0</v>
      </c>
      <c r="C21" s="4">
        <v>46204.0</v>
      </c>
      <c r="D21" s="3" t="str">
        <f t="shared" si="1"/>
        <v>1 month(s)</v>
      </c>
      <c r="E21" s="3">
        <f>E20+B21</f>
        <v>1331.42</v>
      </c>
    </row>
    <row r="22">
      <c r="A22" s="1" t="s">
        <v>18</v>
      </c>
      <c r="B22" s="1">
        <v>-344.5</v>
      </c>
      <c r="C22" s="2">
        <v>46204.0</v>
      </c>
      <c r="D22" s="3" t="str">
        <f t="shared" si="1"/>
        <v>1 month(s)</v>
      </c>
      <c r="E22" s="3">
        <f>E18+B22</f>
        <v>1086.92</v>
      </c>
      <c r="F22" s="6"/>
      <c r="H22" s="7"/>
    </row>
    <row r="23">
      <c r="A23" s="1" t="s">
        <v>19</v>
      </c>
      <c r="B23" s="1">
        <v>-490.0</v>
      </c>
      <c r="C23" s="4">
        <v>46204.0</v>
      </c>
      <c r="D23" s="3" t="str">
        <f t="shared" si="1"/>
        <v>1 month(s)</v>
      </c>
      <c r="E23" s="3">
        <f t="shared" ref="E23:E34" si="4">E22+B23</f>
        <v>596.92</v>
      </c>
    </row>
    <row r="24">
      <c r="A24" s="1" t="s">
        <v>15</v>
      </c>
      <c r="B24" s="1">
        <v>-60.0</v>
      </c>
      <c r="C24" s="4">
        <v>46205.0</v>
      </c>
      <c r="D24" s="3" t="str">
        <f t="shared" si="1"/>
        <v>1 month(s)</v>
      </c>
      <c r="E24" s="3">
        <f t="shared" si="4"/>
        <v>536.92</v>
      </c>
    </row>
    <row r="25">
      <c r="A25" s="1" t="s">
        <v>16</v>
      </c>
      <c r="B25" s="1">
        <v>-30.0</v>
      </c>
      <c r="C25" s="4">
        <v>46206.0</v>
      </c>
      <c r="D25" s="3" t="str">
        <f t="shared" si="1"/>
        <v>1 month(s)</v>
      </c>
      <c r="E25" s="3">
        <f t="shared" si="4"/>
        <v>506.92</v>
      </c>
    </row>
    <row r="26">
      <c r="A26" s="8" t="s">
        <v>6</v>
      </c>
      <c r="B26" s="9">
        <v>700.0</v>
      </c>
      <c r="C26" s="10">
        <v>46208.0</v>
      </c>
      <c r="D26" s="3" t="str">
        <f t="shared" si="1"/>
        <v>1 month(s)</v>
      </c>
      <c r="E26" s="11">
        <f t="shared" si="4"/>
        <v>1206.92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8" t="s">
        <v>6</v>
      </c>
      <c r="B27" s="9">
        <v>700.0</v>
      </c>
      <c r="C27" s="10">
        <v>46215.0</v>
      </c>
      <c r="D27" s="3" t="str">
        <f t="shared" si="1"/>
        <v>1 month(s)</v>
      </c>
      <c r="E27" s="11">
        <f t="shared" si="4"/>
        <v>1906.92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8" t="s">
        <v>6</v>
      </c>
      <c r="B28" s="9">
        <v>700.0</v>
      </c>
      <c r="C28" s="10">
        <v>46222.0</v>
      </c>
      <c r="D28" s="3" t="str">
        <f t="shared" si="1"/>
        <v>2 month(s)</v>
      </c>
      <c r="E28" s="11">
        <f t="shared" si="4"/>
        <v>2606.92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8" t="s">
        <v>6</v>
      </c>
      <c r="B29" s="9">
        <v>700.0</v>
      </c>
      <c r="C29" s="10">
        <v>46229.0</v>
      </c>
      <c r="D29" s="3" t="str">
        <f t="shared" si="1"/>
        <v>2 month(s)</v>
      </c>
      <c r="E29" s="11">
        <f t="shared" si="4"/>
        <v>3306.92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" t="s">
        <v>20</v>
      </c>
      <c r="B30" s="1">
        <v>-344.5</v>
      </c>
      <c r="C30" s="2">
        <v>46235.0</v>
      </c>
      <c r="D30" s="3" t="str">
        <f t="shared" si="1"/>
        <v>2 month(s)</v>
      </c>
      <c r="E30" s="3">
        <f t="shared" si="4"/>
        <v>2962.42</v>
      </c>
      <c r="F30" s="6"/>
      <c r="H30" s="7"/>
    </row>
    <row r="31">
      <c r="A31" s="8" t="s">
        <v>6</v>
      </c>
      <c r="B31" s="9">
        <v>700.0</v>
      </c>
      <c r="C31" s="10">
        <v>46236.0</v>
      </c>
      <c r="D31" s="3" t="str">
        <f t="shared" si="1"/>
        <v>2 month(s)</v>
      </c>
      <c r="E31" s="11">
        <f t="shared" si="4"/>
        <v>3662.42</v>
      </c>
      <c r="F31" s="8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" t="s">
        <v>21</v>
      </c>
      <c r="B32" s="1">
        <v>-344.5</v>
      </c>
      <c r="C32" s="2">
        <v>46266.0</v>
      </c>
      <c r="D32" s="3" t="str">
        <f t="shared" si="1"/>
        <v>3 month(s)</v>
      </c>
      <c r="E32" s="3">
        <f t="shared" si="4"/>
        <v>3317.92</v>
      </c>
      <c r="F32" s="6"/>
      <c r="H32" s="7"/>
    </row>
    <row r="33">
      <c r="A33" s="1" t="s">
        <v>22</v>
      </c>
      <c r="B33" s="1">
        <v>500.0</v>
      </c>
      <c r="C33" s="5">
        <v>46266.0</v>
      </c>
      <c r="D33" s="3" t="str">
        <f t="shared" si="1"/>
        <v>3 month(s)</v>
      </c>
      <c r="E33" s="3">
        <f t="shared" si="4"/>
        <v>3817.92</v>
      </c>
    </row>
    <row r="34">
      <c r="A34" s="1" t="s">
        <v>23</v>
      </c>
      <c r="B34" s="1">
        <v>-344.5</v>
      </c>
      <c r="C34" s="2">
        <v>46296.0</v>
      </c>
      <c r="D34" s="3" t="str">
        <f t="shared" si="1"/>
        <v>4 month(s)</v>
      </c>
      <c r="E34" s="3">
        <f t="shared" si="4"/>
        <v>3473.42</v>
      </c>
      <c r="F34" s="6"/>
      <c r="H34" s="7"/>
    </row>
    <row r="35">
      <c r="A35" s="1" t="s">
        <v>22</v>
      </c>
      <c r="B35" s="1">
        <v>500.0</v>
      </c>
      <c r="C35" s="5">
        <v>46296.0</v>
      </c>
      <c r="D35" s="3" t="str">
        <f t="shared" si="1"/>
        <v>4 month(s)</v>
      </c>
      <c r="E35" s="3">
        <f t="shared" ref="E35:E36" si="5">E33+B35</f>
        <v>4317.92</v>
      </c>
    </row>
    <row r="36">
      <c r="A36" s="1" t="s">
        <v>24</v>
      </c>
      <c r="B36" s="1">
        <v>-344.5</v>
      </c>
      <c r="C36" s="2">
        <v>46327.0</v>
      </c>
      <c r="D36" s="3" t="str">
        <f t="shared" si="1"/>
        <v>5 month(s)</v>
      </c>
      <c r="E36" s="3">
        <f t="shared" si="5"/>
        <v>3128.92</v>
      </c>
      <c r="F36" s="6"/>
      <c r="H36" s="7"/>
    </row>
    <row r="37">
      <c r="A37" s="1" t="s">
        <v>25</v>
      </c>
      <c r="B37" s="1">
        <v>-344.5</v>
      </c>
      <c r="C37" s="2">
        <v>46357.0</v>
      </c>
      <c r="D37" s="3" t="str">
        <f t="shared" si="1"/>
        <v>6 month(s)</v>
      </c>
      <c r="E37" s="3">
        <f t="shared" ref="E37:E41" si="6">E36+B37</f>
        <v>2784.42</v>
      </c>
      <c r="F37" s="6"/>
      <c r="H37" s="7"/>
    </row>
    <row r="38">
      <c r="A38" s="1" t="s">
        <v>26</v>
      </c>
      <c r="B38" s="1">
        <v>-344.5</v>
      </c>
      <c r="C38" s="2">
        <v>46388.0</v>
      </c>
      <c r="D38" s="3" t="str">
        <f t="shared" si="1"/>
        <v>7 month(s)</v>
      </c>
      <c r="E38" s="3">
        <f t="shared" si="6"/>
        <v>2439.92</v>
      </c>
      <c r="F38" s="6"/>
      <c r="H38" s="7"/>
    </row>
    <row r="39">
      <c r="A39" s="1" t="s">
        <v>27</v>
      </c>
      <c r="B39" s="1">
        <v>-344.5</v>
      </c>
      <c r="C39" s="2">
        <v>46419.0</v>
      </c>
      <c r="D39" s="3" t="str">
        <f t="shared" si="1"/>
        <v>8 month(s)</v>
      </c>
      <c r="E39" s="3">
        <f t="shared" si="6"/>
        <v>2095.42</v>
      </c>
      <c r="F39" s="6"/>
      <c r="H39" s="7"/>
    </row>
    <row r="40">
      <c r="A40" s="1" t="s">
        <v>28</v>
      </c>
      <c r="B40" s="1">
        <v>-344.5</v>
      </c>
      <c r="C40" s="2">
        <v>46447.0</v>
      </c>
      <c r="D40" s="3" t="str">
        <f t="shared" si="1"/>
        <v>9 month(s)</v>
      </c>
      <c r="E40" s="3">
        <f t="shared" si="6"/>
        <v>1750.92</v>
      </c>
      <c r="F40" s="6"/>
      <c r="H40" s="7"/>
    </row>
    <row r="41">
      <c r="A41" s="1" t="s">
        <v>29</v>
      </c>
      <c r="B41" s="1">
        <v>-344.5</v>
      </c>
      <c r="C41" s="2">
        <v>46478.0</v>
      </c>
      <c r="D41" s="3" t="str">
        <f t="shared" si="1"/>
        <v>10 month(s)</v>
      </c>
      <c r="E41" s="3">
        <f t="shared" si="6"/>
        <v>1406.42</v>
      </c>
    </row>
  </sheetData>
  <conditionalFormatting sqref="E2:E40">
    <cfRule type="cellIs" dxfId="0" priority="1" operator="lessThan">
      <formula>0</formula>
    </cfRule>
  </conditionalFormatting>
  <conditionalFormatting sqref="B2:B40">
    <cfRule type="cellIs" dxfId="1" priority="2" operator="greaterThan">
      <formula>0</formula>
    </cfRule>
  </conditionalFormatting>
  <drawing r:id="rId1"/>
</worksheet>
</file>